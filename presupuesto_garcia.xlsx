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sglo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0">
    <font>
      <name val="Calibri"/>
      <family val="2"/>
      <color theme="1"/>
      <sz val="11"/>
      <scheme val="minor"/>
    </font>
    <font>
      <name val="Segoe UI"/>
      <b val="1"/>
      <color rgb="002C3E50"/>
      <sz val="15"/>
    </font>
    <font>
      <name val="Segoe UI"/>
      <i val="1"/>
      <color rgb="005D6D7E"/>
      <sz val="10"/>
    </font>
    <font>
      <name val="Segoe UI"/>
      <b val="1"/>
      <color rgb="00FFFFFF"/>
      <sz val="10"/>
    </font>
    <font>
      <name val="Segoe UI"/>
      <color rgb="002C3E50"/>
      <sz val="10"/>
    </font>
    <font>
      <name val="Segoe UI"/>
      <b val="1"/>
      <color rgb="002C3E50"/>
      <sz val="10"/>
    </font>
    <font>
      <name val="Segoe UI"/>
      <b val="1"/>
      <color rgb="002C3E50"/>
      <sz val="11"/>
    </font>
    <font>
      <name val="Segoe UI"/>
      <b val="1"/>
      <color rgb="002C3E50"/>
      <sz val="18"/>
    </font>
    <font>
      <name val="Segoe UI"/>
      <b val="1"/>
      <color rgb="005A7D65"/>
      <sz val="13"/>
    </font>
    <font>
      <name val="Segoe UI"/>
      <b val="1"/>
      <color rgb="0027AE60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CEE"/>
        <bgColor rgb="00EAECEE"/>
      </patternFill>
    </fill>
    <fill>
      <patternFill patternType="solid">
        <fgColor rgb="00D5E5D5"/>
        <bgColor rgb="00D5E5D5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top style="thin">
        <color rgb="002C3E50"/>
      </top>
      <bottom style="double">
        <color rgb="002C3E5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0" fontId="5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5" fillId="0" borderId="0" pivotButton="0" quotePrefix="0" xfId="0"/>
    <xf numFmtId="0" fontId="6" fillId="0" borderId="0" applyAlignment="1" pivotButton="0" quotePrefix="0" xfId="0">
      <alignment horizontal="right"/>
    </xf>
    <xf numFmtId="164" fontId="6" fillId="4" borderId="2" pivotButton="0" quotePrefix="0" xfId="0"/>
    <xf numFmtId="164" fontId="4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0" fillId="3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5" customWidth="1" min="3" max="3"/>
    <col width="22" customWidth="1" min="4" max="4"/>
  </cols>
  <sheetData>
    <row r="2">
      <c r="B2" s="1" t="inlineStr">
        <is>
          <t>ALFÉIZAR REFORMAS</t>
        </is>
      </c>
    </row>
    <row r="3">
      <c r="B3" s="2" t="inlineStr">
        <is>
          <t>Estudio de Reformas de Vivienda en Valencia · Marta Alféizar</t>
        </is>
      </c>
    </row>
    <row r="5">
      <c r="B5" s="3" t="inlineStr">
        <is>
          <t>PRESUPUESTO DE REFORMA INTEGRAL POR INDUSTRIALES</t>
        </is>
      </c>
    </row>
    <row r="7">
      <c r="B7" s="4" t="inlineStr">
        <is>
          <t>Clientes:</t>
        </is>
      </c>
      <c r="C7" s="5" t="inlineStr">
        <is>
          <t>Lucía y Andrés García</t>
        </is>
      </c>
    </row>
    <row r="8">
      <c r="B8" s="4" t="inlineStr">
        <is>
          <t>Vivienda:</t>
        </is>
      </c>
      <c r="C8" s="5" t="inlineStr">
        <is>
          <t>Piso de 60 m² construidos en Ruzafa (Valencia)</t>
        </is>
      </c>
    </row>
    <row r="9">
      <c r="B9" s="4" t="inlineStr">
        <is>
          <t>Edificio:</t>
        </is>
      </c>
      <c r="C9" s="5" t="inlineStr">
        <is>
          <t>Año 1974 · Tercera planta con ascensor</t>
        </is>
      </c>
    </row>
    <row r="10">
      <c r="B10" s="4" t="inlineStr">
        <is>
          <t>Fecha de oferta:</t>
        </is>
      </c>
      <c r="C10" s="5" t="inlineStr">
        <is>
          <t>20/09/2026</t>
        </is>
      </c>
    </row>
    <row r="11">
      <c r="B11" s="4" t="inlineStr">
        <is>
          <t>Validez:</t>
        </is>
      </c>
      <c r="C11" s="5" t="inlineStr">
        <is>
          <t>30 días naturales</t>
        </is>
      </c>
    </row>
    <row r="12">
      <c r="B12" s="4" t="inlineStr">
        <is>
          <t>Garantía:</t>
        </is>
      </c>
      <c r="C12" s="5" t="inlineStr">
        <is>
          <t>2 años en mano de obra e instalaciones</t>
        </is>
      </c>
    </row>
    <row r="14">
      <c r="B14" s="6" t="inlineStr">
        <is>
          <t>Capítulo (Industrial / Oficio)</t>
        </is>
      </c>
      <c r="C14" s="6" t="inlineStr">
        <is>
          <t>Resumen de Trabajos (Suministro y Colocación)</t>
        </is>
      </c>
      <c r="D14" s="7" t="inlineStr">
        <is>
          <t>Importe (sin IVA)</t>
        </is>
      </c>
    </row>
    <row r="15">
      <c r="B15" s="8" t="inlineStr">
        <is>
          <t>1. Derribos y gestión de residuos</t>
        </is>
      </c>
      <c r="C15" s="9" t="inlineStr">
        <is>
          <t>Demolición tabique cocina-salón, levantado pavimento 55 m², picado baño, desmontaje cocina y sanitarios, contenedor</t>
        </is>
      </c>
      <c r="D15" s="10">
        <f>Desglose!F11</f>
        <v/>
      </c>
    </row>
    <row r="16">
      <c r="B16" s="8" t="inlineStr">
        <is>
          <t>2. Albañilería y revestimientos</t>
        </is>
      </c>
      <c r="C16" s="9" t="inlineStr">
        <is>
          <t>Cargadero metálico 4 m, alicatado azulejo blanco mate 30x60 P01 y suelo porcelánico gris perla 60x60 S02</t>
        </is>
      </c>
      <c r="D16" s="10">
        <f>Desglose!F15</f>
        <v/>
      </c>
    </row>
    <row r="17">
      <c r="B17" s="8" t="inlineStr">
        <is>
          <t>3. Fontanería y sanitarios</t>
        </is>
      </c>
      <c r="C17" s="9" t="inlineStr">
        <is>
          <t>Redes completas de fontanería/desagües baño y cocina, plato ducha resina con mampara, inodoro y mueble 80 cm</t>
        </is>
      </c>
      <c r="D17" s="10">
        <f>Desglose!F21</f>
        <v/>
      </c>
    </row>
    <row r="18">
      <c r="B18" s="8" t="inlineStr">
        <is>
          <t>4. Electricidad</t>
        </is>
      </c>
      <c r="C18" s="9" t="inlineStr">
        <is>
          <t>Cuadro eléctrico general nuevo y 12 puntos eléctricos nuevos en cocina según normativa</t>
        </is>
      </c>
      <c r="D18" s="10">
        <f>Desglose!F24</f>
        <v/>
      </c>
    </row>
    <row r="19">
      <c r="B19" s="8" t="inlineStr">
        <is>
          <t>5. Carpintería y mobiliario</t>
        </is>
      </c>
      <c r="C19" s="9" t="inlineStr">
        <is>
          <t>Suelo laminado roble AC5 S01 en 55 m², rodapié blanco, 4 puertas lacadas, cocina 5 ml verde salvia, península y encimeras cuarzo 7 ml</t>
        </is>
      </c>
      <c r="D19" s="10">
        <f>Desglose!F31</f>
        <v/>
      </c>
    </row>
    <row r="20">
      <c r="B20" s="8" t="inlineStr">
        <is>
          <t>6. Pintura</t>
        </is>
      </c>
      <c r="C20" s="9" t="inlineStr">
        <is>
          <t>Pintura plástica lisa blanco roto P03 en 210 m² de techos y paredes de toda la vivienda</t>
        </is>
      </c>
      <c r="D20" s="10">
        <f>Desglose!F33</f>
        <v/>
      </c>
    </row>
    <row r="21">
      <c r="C21" s="11" t="inlineStr">
        <is>
          <t>BASE IMPONIBLE:</t>
        </is>
      </c>
      <c r="D21" s="12">
        <f>SUM(D15:D20)</f>
        <v/>
      </c>
    </row>
    <row r="22">
      <c r="C22" s="11" t="inlineStr">
        <is>
          <t>IVA (10 % reforma de vivienda):</t>
        </is>
      </c>
      <c r="D22" s="12">
        <f>D21*0.10</f>
        <v/>
      </c>
    </row>
    <row r="23">
      <c r="C23" s="13" t="inlineStr">
        <is>
          <t>TOTAL PRESUPUESTO CON IVA:</t>
        </is>
      </c>
      <c r="D23" s="14">
        <f>D21+D22</f>
        <v/>
      </c>
    </row>
    <row r="25">
      <c r="B25" s="4" t="inlineStr">
        <is>
          <t>Forma de Pago:</t>
        </is>
      </c>
    </row>
    <row r="26">
      <c r="B26" s="5" t="inlineStr">
        <is>
          <t>• 40 % al inicio de los trabajos:</t>
        </is>
      </c>
      <c r="D26" s="15">
        <f>D23*0.40</f>
        <v/>
      </c>
    </row>
    <row r="27">
      <c r="B27" s="5" t="inlineStr">
        <is>
          <t>• 40 % a mitad de obra:</t>
        </is>
      </c>
      <c r="D27" s="15">
        <f>D23*0.40</f>
        <v/>
      </c>
    </row>
    <row r="28">
      <c r="B28" s="5" t="inlineStr">
        <is>
          <t>• 20 % a la finalización y entrega:</t>
        </is>
      </c>
      <c r="D28" s="15">
        <f>D23*0.20</f>
        <v/>
      </c>
    </row>
    <row r="30">
      <c r="B30" s="4" t="inlineStr">
        <is>
          <t>Comparativa con Presupuesto Mental del Cliente:</t>
        </is>
      </c>
    </row>
    <row r="31">
      <c r="B31" s="5" t="inlineStr">
        <is>
          <t>Presupuesto estimado por Lucía y Andrés:</t>
        </is>
      </c>
      <c r="D31" s="15" t="n">
        <v>35000</v>
      </c>
    </row>
    <row r="32">
      <c r="B32" s="4" t="inlineStr">
        <is>
          <t>Propuesta Alféizar Reformas (IVA incl.):</t>
        </is>
      </c>
      <c r="D32" s="12">
        <f>D23</f>
        <v/>
      </c>
    </row>
    <row r="33">
      <c r="B33" s="16" t="inlineStr">
        <is>
          <t>Margen favorable para los clientes:</t>
        </is>
      </c>
      <c r="D33" s="17">
        <f>D31-D23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8" customWidth="1" min="2" max="2"/>
    <col width="10" customWidth="1" min="3" max="3"/>
    <col width="14" customWidth="1" min="4" max="4"/>
    <col width="16" customWidth="1" min="5" max="5"/>
    <col width="18" customWidth="1" min="6" max="6"/>
    <col width="25" customWidth="1" min="7" max="7"/>
  </cols>
  <sheetData>
    <row r="1">
      <c r="A1" s="18" t="inlineStr">
        <is>
          <t>ALFÉIZAR REFORMAS · PRESUPUESTO POR INDUSTRIALES (OFICIOS)</t>
        </is>
      </c>
    </row>
    <row r="2">
      <c r="A2" s="2" t="inlineStr">
        <is>
          <t>Proyecto: 01-Piso García | Clientes: Lucía y Andrés García | Ubicación: Ruzafa, Valencia (60 m²)</t>
        </is>
      </c>
    </row>
    <row r="4">
      <c r="A4" s="19" t="inlineStr">
        <is>
          <t>Capítulo (Industrial)</t>
        </is>
      </c>
      <c r="B4" s="19" t="inlineStr">
        <is>
          <t>Partida / Descripción con Suministro y Colocación</t>
        </is>
      </c>
      <c r="C4" s="20" t="inlineStr">
        <is>
          <t>Ud.</t>
        </is>
      </c>
      <c r="D4" s="21" t="inlineStr">
        <is>
          <t>Medición</t>
        </is>
      </c>
      <c r="E4" s="21" t="inlineStr">
        <is>
          <t>Precio (€)</t>
        </is>
      </c>
      <c r="F4" s="21" t="inlineStr">
        <is>
          <t>Importe (€)</t>
        </is>
      </c>
      <c r="G4" s="20" t="inlineStr">
        <is>
          <t>Proveedor / Material</t>
        </is>
      </c>
    </row>
    <row r="5">
      <c r="A5" s="9" t="inlineStr">
        <is>
          <t>1. Derribos y gestión de residuos</t>
        </is>
      </c>
      <c r="B5" s="9" t="inlineStr">
        <is>
          <t>Demolición manual de tabique divisorio de ladrillo entre cocina y salón (4,00 m x 2,60 m)</t>
        </is>
      </c>
      <c r="C5" s="22" t="inlineStr">
        <is>
          <t>m²</t>
        </is>
      </c>
      <c r="D5" s="23" t="n">
        <v>10.4</v>
      </c>
      <c r="E5" s="10" t="n">
        <v>18</v>
      </c>
      <c r="F5" s="10">
        <f>D5*E5</f>
        <v/>
      </c>
      <c r="G5" s="22" t="inlineStr">
        <is>
          <t>-</t>
        </is>
      </c>
    </row>
    <row r="6">
      <c r="A6" s="9" t="inlineStr">
        <is>
          <t>1. Derribos y gestión de residuos</t>
        </is>
      </c>
      <c r="B6" s="9" t="inlineStr">
        <is>
          <t>Levantado de pavimento existente en toda la vivienda (excepto baño) y limpieza de base</t>
        </is>
      </c>
      <c r="C6" s="22" t="inlineStr">
        <is>
          <t>m²</t>
        </is>
      </c>
      <c r="D6" s="23" t="n">
        <v>55</v>
      </c>
      <c r="E6" s="10" t="n">
        <v>12</v>
      </c>
      <c r="F6" s="10">
        <f>D6*E6</f>
        <v/>
      </c>
      <c r="G6" s="22" t="inlineStr">
        <is>
          <t>-</t>
        </is>
      </c>
    </row>
    <row r="7">
      <c r="A7" s="9" t="inlineStr">
        <is>
          <t>1. Derribos y gestión de residuos</t>
        </is>
      </c>
      <c r="B7" s="9" t="inlineStr">
        <is>
          <t>Picado y retirada de alicatado cerámico en paredes de baño hasta soporte base (9 m x 2,60 m)</t>
        </is>
      </c>
      <c r="C7" s="22" t="inlineStr">
        <is>
          <t>m²</t>
        </is>
      </c>
      <c r="D7" s="23" t="n">
        <v>23.4</v>
      </c>
      <c r="E7" s="10" t="n">
        <v>14</v>
      </c>
      <c r="F7" s="10">
        <f>D7*E7</f>
        <v/>
      </c>
      <c r="G7" s="22" t="inlineStr">
        <is>
          <t>-</t>
        </is>
      </c>
    </row>
    <row r="8">
      <c r="A8" s="9" t="inlineStr">
        <is>
          <t>1. Derribos y gestión de residuos</t>
        </is>
      </c>
      <c r="B8" s="9" t="inlineStr">
        <is>
          <t>Desmontaje y retirada completa de mobiliario de cocina actual, bancada y fregadero</t>
        </is>
      </c>
      <c r="C8" s="22" t="inlineStr">
        <is>
          <t>ud</t>
        </is>
      </c>
      <c r="D8" s="23" t="n">
        <v>1</v>
      </c>
      <c r="E8" s="10" t="n">
        <v>180</v>
      </c>
      <c r="F8" s="10">
        <f>D8*E8</f>
        <v/>
      </c>
      <c r="G8" s="22" t="inlineStr">
        <is>
          <t>-</t>
        </is>
      </c>
    </row>
    <row r="9">
      <c r="A9" s="9" t="inlineStr">
        <is>
          <t>1. Derribos y gestión de residuos</t>
        </is>
      </c>
      <c r="B9" s="9" t="inlineStr">
        <is>
          <t>Desconexión y retirada de sanitarios antiguos (bañera, inodoro y lavabo)</t>
        </is>
      </c>
      <c r="C9" s="22" t="inlineStr">
        <is>
          <t>ud</t>
        </is>
      </c>
      <c r="D9" s="23" t="n">
        <v>3</v>
      </c>
      <c r="E9" s="10" t="n">
        <v>45</v>
      </c>
      <c r="F9" s="10">
        <f>D9*E9</f>
        <v/>
      </c>
      <c r="G9" s="22" t="inlineStr">
        <is>
          <t>-</t>
        </is>
      </c>
    </row>
    <row r="10">
      <c r="A10" s="9" t="inlineStr">
        <is>
          <t>1. Derribos y gestión de residuos</t>
        </is>
      </c>
      <c r="B10" s="9" t="inlineStr">
        <is>
          <t>Contenedor para escombros a pie de calle, transporte y tasas en planta autorizada de residuos</t>
        </is>
      </c>
      <c r="C10" s="22" t="inlineStr">
        <is>
          <t>PA</t>
        </is>
      </c>
      <c r="D10" s="23" t="n">
        <v>1</v>
      </c>
      <c r="E10" s="10" t="n">
        <v>320</v>
      </c>
      <c r="F10" s="10">
        <f>D10*E10</f>
        <v/>
      </c>
      <c r="G10" s="22" t="inlineStr">
        <is>
          <t>-</t>
        </is>
      </c>
    </row>
    <row r="11">
      <c r="A11" s="24" t="inlineStr">
        <is>
          <t>Subtotal 1. Derribos y gestión de residuos</t>
        </is>
      </c>
      <c r="B11" s="25" t="n"/>
      <c r="C11" s="25" t="n"/>
      <c r="D11" s="25" t="n"/>
      <c r="E11" s="25" t="n"/>
      <c r="F11" s="26">
        <f>SUM(F5:F10)</f>
        <v/>
      </c>
      <c r="G11" s="25" t="n"/>
    </row>
    <row r="12">
      <c r="A12" s="9" t="inlineStr">
        <is>
          <t>2. Albañilería y revestimientos cerámicos</t>
        </is>
      </c>
      <c r="B12" s="9" t="inlineStr">
        <is>
          <t>Suministro y colocación de cargadero metálico estructural en apertura de hueco cocina-salón (4 m)</t>
        </is>
      </c>
      <c r="C12" s="22" t="inlineStr">
        <is>
          <t>ud</t>
        </is>
      </c>
      <c r="D12" s="23" t="n">
        <v>1</v>
      </c>
      <c r="E12" s="10" t="n">
        <v>650</v>
      </c>
      <c r="F12" s="10">
        <f>D12*E12</f>
        <v/>
      </c>
      <c r="G12" s="22" t="inlineStr">
        <is>
          <t>-</t>
        </is>
      </c>
    </row>
    <row r="13">
      <c r="A13" s="9" t="inlineStr">
        <is>
          <t>2. Albañilería y revestimientos cerámicos</t>
        </is>
      </c>
      <c r="B13" s="9" t="inlineStr">
        <is>
          <t>Suministro y colocación de azulejo blanco mate 30x60 cm de Cerámicas Onda (modelo P01) en paredes de baño</t>
        </is>
      </c>
      <c r="C13" s="22" t="inlineStr">
        <is>
          <t>m²</t>
        </is>
      </c>
      <c r="D13" s="23" t="n">
        <v>23.4</v>
      </c>
      <c r="E13" s="10" t="n">
        <v>58</v>
      </c>
      <c r="F13" s="10">
        <f>D13*E13</f>
        <v/>
      </c>
      <c r="G13" s="22" t="inlineStr">
        <is>
          <t>Cerámicas Onda (2 sem)</t>
        </is>
      </c>
    </row>
    <row r="14">
      <c r="A14" s="9" t="inlineStr">
        <is>
          <t>2. Albañilería y revestimientos cerámicos</t>
        </is>
      </c>
      <c r="B14" s="9" t="inlineStr">
        <is>
          <t>Suministro y colocación de suelo porcelánico gris perla 60x60 cm de Cerámicas Onda (modelo S02) en baño</t>
        </is>
      </c>
      <c r="C14" s="22" t="inlineStr">
        <is>
          <t>m²</t>
        </is>
      </c>
      <c r="D14" s="23" t="n">
        <v>5</v>
      </c>
      <c r="E14" s="10" t="n">
        <v>63</v>
      </c>
      <c r="F14" s="10">
        <f>D14*E14</f>
        <v/>
      </c>
      <c r="G14" s="22" t="inlineStr">
        <is>
          <t>Cerámicas Onda (2 sem)</t>
        </is>
      </c>
    </row>
    <row r="15">
      <c r="A15" s="24" t="inlineStr">
        <is>
          <t>Subtotal 2. Albañilería y revestimientos cerámicos</t>
        </is>
      </c>
      <c r="B15" s="25" t="n"/>
      <c r="C15" s="25" t="n"/>
      <c r="D15" s="25" t="n"/>
      <c r="E15" s="25" t="n"/>
      <c r="F15" s="26">
        <f>SUM(F12:F14)</f>
        <v/>
      </c>
      <c r="G15" s="25" t="n"/>
    </row>
    <row r="16">
      <c r="A16" s="9" t="inlineStr">
        <is>
          <t>3. Fontanería y aparatos sanitarios</t>
        </is>
      </c>
      <c r="B16" s="9" t="inlineStr">
        <is>
          <t>Instalación completa de fontanería y desagües de baño para ducha, inodoro y lavabo</t>
        </is>
      </c>
      <c r="C16" s="22" t="inlineStr">
        <is>
          <t>PA</t>
        </is>
      </c>
      <c r="D16" s="23" t="n">
        <v>1</v>
      </c>
      <c r="E16" s="10" t="n">
        <v>980</v>
      </c>
      <c r="F16" s="10">
        <f>D16*E16</f>
        <v/>
      </c>
      <c r="G16" s="22" t="inlineStr">
        <is>
          <t>-</t>
        </is>
      </c>
    </row>
    <row r="17">
      <c r="A17" s="9" t="inlineStr">
        <is>
          <t>3. Fontanería y aparatos sanitarios</t>
        </is>
      </c>
      <c r="B17" s="9" t="inlineStr">
        <is>
          <t>Instalación de fontanería y tomas de desagüe en cocina (fregadero, lavavajillas, lavadora)</t>
        </is>
      </c>
      <c r="C17" s="22" t="inlineStr">
        <is>
          <t>PA</t>
        </is>
      </c>
      <c r="D17" s="23" t="n">
        <v>1</v>
      </c>
      <c r="E17" s="10" t="n">
        <v>640</v>
      </c>
      <c r="F17" s="10">
        <f>D17*E17</f>
        <v/>
      </c>
      <c r="G17" s="22" t="inlineStr">
        <is>
          <t>-</t>
        </is>
      </c>
    </row>
    <row r="18">
      <c r="A18" s="9" t="inlineStr">
        <is>
          <t>3. Fontanería y aparatos sanitarios</t>
        </is>
      </c>
      <c r="B18" s="9" t="inlineStr">
        <is>
          <t>Suministro e instalación de plato de ducha de resina antideslizante con mampara de vidrio templado (B01)</t>
        </is>
      </c>
      <c r="C18" s="22" t="inlineStr">
        <is>
          <t>ud</t>
        </is>
      </c>
      <c r="D18" s="23" t="n">
        <v>1</v>
      </c>
      <c r="E18" s="10" t="n">
        <v>890</v>
      </c>
      <c r="F18" s="10">
        <f>D18*E18</f>
        <v/>
      </c>
      <c r="G18" s="22" t="inlineStr">
        <is>
          <t>-</t>
        </is>
      </c>
    </row>
    <row r="19">
      <c r="A19" s="9" t="inlineStr">
        <is>
          <t>3. Fontanería y aparatos sanitarios</t>
        </is>
      </c>
      <c r="B19" s="9" t="inlineStr">
        <is>
          <t>Suministro e instalación de inodoro compacto adosado a pared de porcelana blanca con tapa amortiguada (B02)</t>
        </is>
      </c>
      <c r="C19" s="22" t="inlineStr">
        <is>
          <t>ud</t>
        </is>
      </c>
      <c r="D19" s="23" t="n">
        <v>1</v>
      </c>
      <c r="E19" s="10" t="n">
        <v>310</v>
      </c>
      <c r="F19" s="10">
        <f>D19*E19</f>
        <v/>
      </c>
      <c r="G19" s="22" t="inlineStr">
        <is>
          <t>-</t>
        </is>
      </c>
    </row>
    <row r="20">
      <c r="A20" s="9" t="inlineStr">
        <is>
          <t>3. Fontanería y aparatos sanitarios</t>
        </is>
      </c>
      <c r="B20" s="9" t="inlineStr">
        <is>
          <t>Suministro e instalación de mueble suspendido de lavabo 80 cm con espejo a juego y grifería monomando (B03)</t>
        </is>
      </c>
      <c r="C20" s="22" t="inlineStr">
        <is>
          <t>ud</t>
        </is>
      </c>
      <c r="D20" s="23" t="n">
        <v>1</v>
      </c>
      <c r="E20" s="10" t="n">
        <v>460</v>
      </c>
      <c r="F20" s="10">
        <f>D20*E20</f>
        <v/>
      </c>
      <c r="G20" s="22" t="inlineStr">
        <is>
          <t>-</t>
        </is>
      </c>
    </row>
    <row r="21">
      <c r="A21" s="24" t="inlineStr">
        <is>
          <t>Subtotal 3. Fontanería y aparatos sanitarios</t>
        </is>
      </c>
      <c r="B21" s="25" t="n"/>
      <c r="C21" s="25" t="n"/>
      <c r="D21" s="25" t="n"/>
      <c r="E21" s="25" t="n"/>
      <c r="F21" s="26">
        <f>SUM(F16:F20)</f>
        <v/>
      </c>
      <c r="G21" s="25" t="n"/>
    </row>
    <row r="22">
      <c r="A22" s="9" t="inlineStr">
        <is>
          <t>4. Electricidad</t>
        </is>
      </c>
      <c r="B22" s="9" t="inlineStr">
        <is>
          <t>Suministro e instalación de cuadro eléctrico general nuevo según normativa REBT (I02)</t>
        </is>
      </c>
      <c r="C22" s="22" t="inlineStr">
        <is>
          <t>ud</t>
        </is>
      </c>
      <c r="D22" s="23" t="n">
        <v>1</v>
      </c>
      <c r="E22" s="10" t="n">
        <v>520</v>
      </c>
      <c r="F22" s="10">
        <f>D22*E22</f>
        <v/>
      </c>
      <c r="G22" s="22" t="inlineStr">
        <is>
          <t>-</t>
        </is>
      </c>
    </row>
    <row r="23">
      <c r="A23" s="9" t="inlineStr">
        <is>
          <t>4. Electricidad</t>
        </is>
      </c>
      <c r="B23" s="9" t="inlineStr">
        <is>
          <t>Suministro e instalación de puntos eléctricos nuevos en cocina para electrodomésticos y tomas de corriente (I01)</t>
        </is>
      </c>
      <c r="C23" s="22" t="inlineStr">
        <is>
          <t>ud</t>
        </is>
      </c>
      <c r="D23" s="23" t="n">
        <v>12</v>
      </c>
      <c r="E23" s="10" t="n">
        <v>48</v>
      </c>
      <c r="F23" s="10">
        <f>D23*E23</f>
        <v/>
      </c>
      <c r="G23" s="22" t="inlineStr">
        <is>
          <t>-</t>
        </is>
      </c>
    </row>
    <row r="24">
      <c r="A24" s="24" t="inlineStr">
        <is>
          <t>Subtotal 4. Electricidad</t>
        </is>
      </c>
      <c r="B24" s="25" t="n"/>
      <c r="C24" s="25" t="n"/>
      <c r="D24" s="25" t="n"/>
      <c r="E24" s="25" t="n"/>
      <c r="F24" s="26">
        <f>SUM(F22:F23)</f>
        <v/>
      </c>
      <c r="G24" s="25" t="n"/>
    </row>
    <row r="25">
      <c r="A25" s="9" t="inlineStr">
        <is>
          <t>5. Carpintería y mobiliario</t>
        </is>
      </c>
      <c r="B25" s="9" t="inlineStr">
        <is>
          <t>Suministro y colocación de suelo laminado roble natural AC5 de Maderas Turia (modelo S01) sobre aislante</t>
        </is>
      </c>
      <c r="C25" s="22" t="inlineStr">
        <is>
          <t>m²</t>
        </is>
      </c>
      <c r="D25" s="23" t="n">
        <v>55</v>
      </c>
      <c r="E25" s="10" t="n">
        <v>38</v>
      </c>
      <c r="F25" s="10">
        <f>D25*E25</f>
        <v/>
      </c>
      <c r="G25" s="22" t="inlineStr">
        <is>
          <t>Maderas Turia (1 sem)</t>
        </is>
      </c>
    </row>
    <row r="26">
      <c r="A26" s="9" t="inlineStr">
        <is>
          <t>5. Carpintería y mobiliario</t>
        </is>
      </c>
      <c r="B26" s="9" t="inlineStr">
        <is>
          <t>Suministro y colocación de rodapié lacado en blanco de 8 cm fijado a pared y sellado (R05)</t>
        </is>
      </c>
      <c r="C26" s="22" t="inlineStr">
        <is>
          <t>ml</t>
        </is>
      </c>
      <c r="D26" s="23" t="n">
        <v>54</v>
      </c>
      <c r="E26" s="10" t="n">
        <v>8</v>
      </c>
      <c r="F26" s="10">
        <f>D26*E26</f>
        <v/>
      </c>
      <c r="G26" s="22" t="inlineStr">
        <is>
          <t>-</t>
        </is>
      </c>
    </row>
    <row r="27">
      <c r="A27" s="9" t="inlineStr">
        <is>
          <t>5. Carpintería y mobiliario</t>
        </is>
      </c>
      <c r="B27" s="9" t="inlineStr">
        <is>
          <t>Suministro y colocación de puertas interiores de paso abatibles lacadas en blanco con tapajuntas y manivelas (C01)</t>
        </is>
      </c>
      <c r="C27" s="22" t="inlineStr">
        <is>
          <t>ud</t>
        </is>
      </c>
      <c r="D27" s="23" t="n">
        <v>4</v>
      </c>
      <c r="E27" s="10" t="n">
        <v>340</v>
      </c>
      <c r="F27" s="10">
        <f>D27*E27</f>
        <v/>
      </c>
      <c r="G27" s="22" t="inlineStr">
        <is>
          <t>-</t>
        </is>
      </c>
    </row>
    <row r="28">
      <c r="A28" s="9" t="inlineStr">
        <is>
          <t>5. Carpintería y mobiliario</t>
        </is>
      </c>
      <c r="B28" s="9" t="inlineStr">
        <is>
          <t>Suministro y montaje de mobiliario de cocina en L (5 ml) con frentes verde salvia (modelo M02) y cierre amortiguado (K01)</t>
        </is>
      </c>
      <c r="C28" s="22" t="inlineStr">
        <is>
          <t>ml</t>
        </is>
      </c>
      <c r="D28" s="23" t="n">
        <v>5</v>
      </c>
      <c r="E28" s="10" t="n">
        <v>620</v>
      </c>
      <c r="F28" s="10">
        <f>D28*E28</f>
        <v/>
      </c>
      <c r="G28" s="22" t="inlineStr">
        <is>
          <t>Frentes M02 verde salvia</t>
        </is>
      </c>
    </row>
    <row r="29">
      <c r="A29" s="9" t="inlineStr">
        <is>
          <t>5. Carpintería y mobiliario</t>
        </is>
      </c>
      <c r="B29" s="9" t="inlineStr">
        <is>
          <t>Suministro y montaje de península divisoria cocina-salón (2 ml) con estructura y muebles bajos a dos caras (K02)</t>
        </is>
      </c>
      <c r="C29" s="22" t="inlineStr">
        <is>
          <t>ud</t>
        </is>
      </c>
      <c r="D29" s="23" t="n">
        <v>1</v>
      </c>
      <c r="E29" s="10" t="n">
        <v>1450</v>
      </c>
      <c r="F29" s="10">
        <f>D29*E29</f>
        <v/>
      </c>
      <c r="G29" s="22" t="inlineStr">
        <is>
          <t>Frentes M02 verde salvia</t>
        </is>
      </c>
    </row>
    <row r="30">
      <c r="A30" s="9" t="inlineStr">
        <is>
          <t>5. Carpintería y mobiliario</t>
        </is>
      </c>
      <c r="B30" s="9" t="inlineStr">
        <is>
          <t>Suministro e instalación de encimera de cuarzo blanco 2 cm de Encimeras Levante (modelo E01) en bancada y península</t>
        </is>
      </c>
      <c r="C30" s="22" t="inlineStr">
        <is>
          <t>ml</t>
        </is>
      </c>
      <c r="D30" s="23" t="n">
        <v>7</v>
      </c>
      <c r="E30" s="10" t="n">
        <v>270</v>
      </c>
      <c r="F30" s="10">
        <f>D30*E30</f>
        <v/>
      </c>
      <c r="G30" s="22" t="inlineStr">
        <is>
          <t>Encimeras Levante (3 sem)</t>
        </is>
      </c>
    </row>
    <row r="31">
      <c r="A31" s="24" t="inlineStr">
        <is>
          <t>Subtotal 5. Carpintería y mobiliario</t>
        </is>
      </c>
      <c r="B31" s="25" t="n"/>
      <c r="C31" s="25" t="n"/>
      <c r="D31" s="25" t="n"/>
      <c r="E31" s="25" t="n"/>
      <c r="F31" s="26">
        <f>SUM(F25:F30)</f>
        <v/>
      </c>
      <c r="G31" s="25" t="n"/>
    </row>
    <row r="32">
      <c r="A32" s="9" t="inlineStr">
        <is>
          <t>6. Pintura</t>
        </is>
      </c>
      <c r="B32" s="9" t="inlineStr">
        <is>
          <t>Suministro y aplicación de pintura plástica lisa color blanco roto (acabado P03) en paredes y techos excepto baño (R04)</t>
        </is>
      </c>
      <c r="C32" s="22" t="inlineStr">
        <is>
          <t>m²</t>
        </is>
      </c>
      <c r="D32" s="23" t="n">
        <v>210</v>
      </c>
      <c r="E32" s="10" t="n">
        <v>9</v>
      </c>
      <c r="F32" s="10">
        <f>D32*E32</f>
        <v/>
      </c>
      <c r="G32" s="22" t="inlineStr">
        <is>
          <t>P03 blanco roto incluida</t>
        </is>
      </c>
    </row>
    <row r="33">
      <c r="A33" s="24" t="inlineStr">
        <is>
          <t>Subtotal 6. Pintura</t>
        </is>
      </c>
      <c r="B33" s="25" t="n"/>
      <c r="C33" s="25" t="n"/>
      <c r="D33" s="25" t="n"/>
      <c r="E33" s="25" t="n"/>
      <c r="F33" s="26">
        <f>SUM(F32:F32)</f>
        <v/>
      </c>
      <c r="G33" s="25" t="n"/>
    </row>
    <row r="35">
      <c r="E35" s="11" t="inlineStr">
        <is>
          <t>BASE IMPONIBLE:</t>
        </is>
      </c>
      <c r="F35" s="12">
        <f>F11+F15+F21+F24+F31+F33</f>
        <v/>
      </c>
    </row>
    <row r="36">
      <c r="E36" s="11" t="inlineStr">
        <is>
          <t>IVA (10%):</t>
        </is>
      </c>
      <c r="F36" s="12">
        <f>F35*0.10</f>
        <v/>
      </c>
    </row>
    <row r="37">
      <c r="E37" s="13" t="inlineStr">
        <is>
          <t>TOTAL PRESUPUESTO:</t>
        </is>
      </c>
      <c r="F37" s="14">
        <f>F35+F36</f>
        <v/>
      </c>
    </row>
  </sheetData>
  <mergeCells count="6">
    <mergeCell ref="A21:E21"/>
    <mergeCell ref="A24:E24"/>
    <mergeCell ref="A15:E15"/>
    <mergeCell ref="A33:E33"/>
    <mergeCell ref="A11:E11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2026-09-21T00:39:52Z</dcterms:created>
  <dcterms:modified xmlns:dcterms="http://purl.org/dc/terms/" xmlns:xsi="http://www.w3.org/2001/XMLSchema-instance" xsi:type="dcterms:W3CDTF">2026-09-21T00:39:52Z</dcterms:modified>
</cp:coreProperties>
</file>